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mol\Favorites\Downloads\"/>
    </mc:Choice>
  </mc:AlternateContent>
  <xr:revisionPtr revIDLastSave="0" documentId="13_ncr:1_{45F45FBD-3510-4F9A-90C8-882B58473557}" xr6:coauthVersionLast="47" xr6:coauthVersionMax="47" xr10:uidLastSave="{00000000-0000-0000-0000-000000000000}"/>
  <bookViews>
    <workbookView xWindow="-108" yWindow="-108" windowWidth="23256" windowHeight="14616" xr2:uid="{07AAF7A5-B335-4A8B-8E5C-76CCB6BDA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15" i="1"/>
  <c r="J15" i="1"/>
  <c r="J14" i="1"/>
  <c r="J13" i="1"/>
  <c r="I14" i="1"/>
  <c r="I13" i="1"/>
  <c r="I7" i="1"/>
  <c r="F21" i="1"/>
  <c r="E26" i="1"/>
  <c r="F26" i="1" s="1"/>
  <c r="E25" i="1"/>
  <c r="F25" i="1" s="1"/>
  <c r="E24" i="1"/>
  <c r="F24" i="1" s="1"/>
  <c r="E23" i="1"/>
  <c r="F23" i="1" s="1"/>
  <c r="E22" i="1"/>
  <c r="F22" i="1" s="1"/>
  <c r="E21" i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E10" i="1"/>
  <c r="F10" i="1" s="1"/>
  <c r="E9" i="1"/>
  <c r="F9" i="1" s="1"/>
  <c r="E8" i="1"/>
  <c r="F8" i="1" s="1"/>
  <c r="E7" i="1"/>
  <c r="F7" i="1" s="1"/>
  <c r="N15" i="1" l="1"/>
  <c r="I8" i="1"/>
  <c r="I9" i="1" s="1"/>
  <c r="N13" i="1"/>
  <c r="N14" i="1"/>
  <c r="F11" i="1"/>
  <c r="K13" i="1"/>
  <c r="K14" i="1"/>
  <c r="K15" i="1"/>
</calcChain>
</file>

<file path=xl/sharedStrings.xml><?xml version="1.0" encoding="utf-8"?>
<sst xmlns="http://schemas.openxmlformats.org/spreadsheetml/2006/main" count="46" uniqueCount="23">
  <si>
    <t xml:space="preserve">NOVA RETAIL SOLUTION </t>
  </si>
  <si>
    <t xml:space="preserve">Financial Performance Analysis </t>
  </si>
  <si>
    <t>Sample dataset (Jan-Apr 2026)</t>
  </si>
  <si>
    <t xml:space="preserve">Department </t>
  </si>
  <si>
    <t xml:space="preserve">Revenue </t>
  </si>
  <si>
    <t>Expenses</t>
  </si>
  <si>
    <t>Date</t>
  </si>
  <si>
    <t>Department</t>
  </si>
  <si>
    <t>Revenue</t>
  </si>
  <si>
    <t>Sales</t>
  </si>
  <si>
    <t>Marketing</t>
  </si>
  <si>
    <t>Operations</t>
  </si>
  <si>
    <t>Profit</t>
  </si>
  <si>
    <t xml:space="preserve">Profit Margin </t>
  </si>
  <si>
    <t>Financial Summary</t>
  </si>
  <si>
    <t>Total Revenue</t>
  </si>
  <si>
    <t>Total Expenses</t>
  </si>
  <si>
    <t>Total Profit</t>
  </si>
  <si>
    <t>Overall Profit Margin</t>
  </si>
  <si>
    <t xml:space="preserve">Profit </t>
  </si>
  <si>
    <t xml:space="preserve">Sales </t>
  </si>
  <si>
    <t xml:space="preserve">Marketing </t>
  </si>
  <si>
    <t xml:space="preserve">Operations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</si>
</sst>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i/>
      <sz val="10"/>
      <color theme="2" tint="-0.899990844447157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43" fontId="0" fillId="0" borderId="0" xfId="1" applyFont="1"/>
    <xf numFmtId="43" fontId="0" fillId="0" borderId="0" xfId="0" applyNumberFormat="1"/>
    <xf numFmtId="0" fontId="0" fillId="0" borderId="2" xfId="0" applyBorder="1"/>
    <xf numFmtId="14" fontId="0" fillId="0" borderId="2" xfId="0" applyNumberFormat="1" applyBorder="1"/>
    <xf numFmtId="43" fontId="0" fillId="0" borderId="1" xfId="1" applyFont="1" applyBorder="1"/>
    <xf numFmtId="0" fontId="3" fillId="0" borderId="0" xfId="0" applyFont="1"/>
    <xf numFmtId="10" fontId="0" fillId="0" borderId="0" xfId="0" applyNumberFormat="1" applyAlignment="1">
      <alignment horizontal="left" indent="6"/>
    </xf>
    <xf numFmtId="0" fontId="3" fillId="0" borderId="0" xfId="0" applyFont="1" applyAlignment="1">
      <alignment horizontal="center"/>
    </xf>
    <xf numFmtId="0" fontId="2" fillId="2" borderId="0" xfId="0" applyFont="1" applyFill="1"/>
    <xf numFmtId="43" fontId="5" fillId="0" borderId="0" xfId="1" applyFont="1"/>
    <xf numFmtId="0" fontId="6" fillId="0" borderId="0" xfId="0" applyFont="1"/>
    <xf numFmtId="10" fontId="6" fillId="0" borderId="0" xfId="2" applyNumberFormat="1" applyFont="1"/>
    <xf numFmtId="43" fontId="2" fillId="2" borderId="0" xfId="1" applyFont="1" applyFill="1"/>
    <xf numFmtId="0" fontId="7" fillId="0" borderId="1" xfId="0" applyFont="1" applyBorder="1"/>
    <xf numFmtId="0" fontId="4" fillId="2" borderId="1" xfId="0" applyFont="1" applyFill="1" applyBorder="1"/>
    <xf numFmtId="0" fontId="0" fillId="0" borderId="0" xfId="0" applyAlignment="1">
      <alignment vertical="center"/>
    </xf>
    <xf numFmtId="43" fontId="0" fillId="0" borderId="0" xfId="1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">
    <dxf>
      <numFmt numFmtId="14" formatCode="0.00%"/>
      <alignment horizontal="left" vertical="bottom" textRotation="0" wrapText="0" indent="6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Department-wise- Profit Analysis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654374453193351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Sheet1!$N$12</c:f>
              <c:strCache>
                <c:ptCount val="1"/>
                <c:pt idx="0">
                  <c:v>Profit 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Sheet1!$M$13:$M$15</c:f>
              <c:strCache>
                <c:ptCount val="3"/>
                <c:pt idx="0">
                  <c:v>Sales </c:v>
                </c:pt>
                <c:pt idx="1">
                  <c:v>Marketing </c:v>
                </c:pt>
                <c:pt idx="2">
                  <c:v>Operations </c:v>
                </c:pt>
              </c:strCache>
            </c:strRef>
          </c:cat>
          <c:val>
            <c:numRef>
              <c:f>Sheet1!$N$13:$N$15</c:f>
              <c:numCache>
                <c:formatCode>_(* #,##0.00_);_(* \(#,##0.00\);_(* "-"??_);_(@_)</c:formatCode>
                <c:ptCount val="3"/>
                <c:pt idx="0">
                  <c:v>201000</c:v>
                </c:pt>
                <c:pt idx="1">
                  <c:v>111000</c:v>
                </c:pt>
                <c:pt idx="2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9-4D3F-AEBC-94CD072DC9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132432"/>
        <c:axId val="653427536"/>
      </c:barChart>
      <c:catAx>
        <c:axId val="1213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27536"/>
        <c:crosses val="autoZero"/>
        <c:auto val="1"/>
        <c:lblAlgn val="ctr"/>
        <c:lblOffset val="100"/>
        <c:noMultiLvlLbl val="0"/>
      </c:catAx>
      <c:valAx>
        <c:axId val="653427536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213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10</xdr:row>
      <xdr:rowOff>159099</xdr:rowOff>
    </xdr:from>
    <xdr:to>
      <xdr:col>18</xdr:col>
      <xdr:colOff>50075</xdr:colOff>
      <xdr:row>25</xdr:row>
      <xdr:rowOff>159098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9E3AB-B780-9382-C556-C4B8EDA41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D2B85-C0BF-4996-893D-98684608391C}" name="Table1" displayName="Table1" ref="A6:F26" totalsRowShown="0" headerRowDxfId="6" tableBorderDxfId="5">
  <autoFilter ref="A6:F26" xr:uid="{5E2D2B85-C0BF-4996-893D-98684608391C}"/>
  <tableColumns count="6">
    <tableColumn id="1" xr3:uid="{3AD9D00A-4F77-4323-B40B-23AF263CEBE5}" name="Date" dataDxfId="4"/>
    <tableColumn id="2" xr3:uid="{84E0E84E-52E7-455C-8547-3FB261618AC3}" name="Department" dataDxfId="3"/>
    <tableColumn id="3" xr3:uid="{62F9D821-B628-4C5F-97A2-5A184116C1C0}" name="Revenue" dataDxfId="2" dataCellStyle="Comma"/>
    <tableColumn id="4" xr3:uid="{4765807E-88C3-4EFC-B1E0-9F179A283F99}" name="Expenses" dataDxfId="1" dataCellStyle="Comma"/>
    <tableColumn id="5" xr3:uid="{1D2D1BBD-50EB-4C4C-9B31-8DD30F39A31A}" name="Profit" dataCellStyle="Comma">
      <calculatedColumnFormula>C7-D7</calculatedColumnFormula>
    </tableColumn>
    <tableColumn id="6" xr3:uid="{CAF51D69-780B-443E-8AF7-03D42229C07B}" name="Profit Margin " dataDxfId="0">
      <calculatedColumnFormula>E7/C7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633E-6A7F-4008-84B2-4008FA544150}">
  <dimension ref="A1:N29"/>
  <sheetViews>
    <sheetView tabSelected="1" zoomScale="91" zoomScaleNormal="91" workbookViewId="0">
      <selection activeCell="I25" sqref="I25"/>
    </sheetView>
  </sheetViews>
  <sheetFormatPr defaultRowHeight="14.4" x14ac:dyDescent="0.3"/>
  <cols>
    <col min="1" max="1" width="31.109375" bestFit="1" customWidth="1"/>
    <col min="2" max="2" width="13.88671875" bestFit="1" customWidth="1"/>
    <col min="3" max="3" width="11.21875" bestFit="1" customWidth="1"/>
    <col min="4" max="5" width="31.88671875" bestFit="1" customWidth="1"/>
    <col min="6" max="6" width="14.6640625" bestFit="1" customWidth="1"/>
    <col min="8" max="8" width="18.6640625" bestFit="1" customWidth="1"/>
    <col min="9" max="9" width="13.5546875" bestFit="1" customWidth="1"/>
    <col min="10" max="10" width="10.21875" bestFit="1" customWidth="1"/>
    <col min="11" max="11" width="7.6640625" bestFit="1" customWidth="1"/>
    <col min="13" max="13" width="11.33203125" bestFit="1" customWidth="1"/>
    <col min="14" max="14" width="12.109375" bestFit="1" customWidth="1"/>
  </cols>
  <sheetData>
    <row r="1" spans="1:14" ht="24.6" customHeight="1" x14ac:dyDescent="0.3">
      <c r="D1" s="19" t="s">
        <v>0</v>
      </c>
      <c r="E1" s="19"/>
      <c r="F1" s="19"/>
    </row>
    <row r="2" spans="1:14" ht="15.6" x14ac:dyDescent="0.3">
      <c r="D2" s="20" t="s">
        <v>1</v>
      </c>
      <c r="E2" s="20"/>
      <c r="F2" s="20"/>
    </row>
    <row r="3" spans="1:14" x14ac:dyDescent="0.3">
      <c r="D3" s="21" t="s">
        <v>2</v>
      </c>
      <c r="E3" s="21"/>
      <c r="F3" s="21"/>
    </row>
    <row r="4" spans="1:14" x14ac:dyDescent="0.3">
      <c r="A4" s="9"/>
    </row>
    <row r="5" spans="1:14" x14ac:dyDescent="0.3">
      <c r="H5" s="10" t="s">
        <v>14</v>
      </c>
    </row>
    <row r="6" spans="1:14" x14ac:dyDescent="0.3">
      <c r="A6" s="4" t="s">
        <v>6</v>
      </c>
      <c r="B6" s="1" t="s">
        <v>7</v>
      </c>
      <c r="C6" s="1" t="s">
        <v>8</v>
      </c>
      <c r="D6" s="1" t="s">
        <v>5</v>
      </c>
      <c r="E6" t="s">
        <v>12</v>
      </c>
      <c r="F6" t="s">
        <v>13</v>
      </c>
      <c r="H6" s="7" t="s">
        <v>15</v>
      </c>
      <c r="I6" s="11">
        <f>SUM(C7:C26)</f>
        <v>1009000</v>
      </c>
      <c r="J6" s="2"/>
      <c r="K6" s="2"/>
    </row>
    <row r="7" spans="1:14" x14ac:dyDescent="0.3">
      <c r="A7" s="5">
        <v>46023</v>
      </c>
      <c r="B7" s="1" t="s">
        <v>9</v>
      </c>
      <c r="C7" s="6">
        <v>50000</v>
      </c>
      <c r="D7" s="6">
        <v>32000</v>
      </c>
      <c r="E7" s="2">
        <f>C7-D7</f>
        <v>18000</v>
      </c>
      <c r="F7" s="8">
        <f>E7/C7</f>
        <v>0.36</v>
      </c>
      <c r="H7" s="7" t="s">
        <v>16</v>
      </c>
      <c r="I7" s="11">
        <f>SUM(D7:D26)</f>
        <v>634000</v>
      </c>
      <c r="J7" s="2"/>
      <c r="K7" s="2"/>
    </row>
    <row r="8" spans="1:14" x14ac:dyDescent="0.3">
      <c r="A8" s="5">
        <v>46024</v>
      </c>
      <c r="B8" s="1" t="s">
        <v>10</v>
      </c>
      <c r="C8" s="6">
        <v>35000</v>
      </c>
      <c r="D8" s="6">
        <v>24000</v>
      </c>
      <c r="E8" s="2">
        <f t="shared" ref="E8:E26" si="0">C8-D8</f>
        <v>11000</v>
      </c>
      <c r="F8" s="8">
        <f t="shared" ref="F8:F26" si="1">E8/C8</f>
        <v>0.31428571428571428</v>
      </c>
      <c r="H8" s="7" t="s">
        <v>17</v>
      </c>
      <c r="I8" s="11">
        <f>SUM(E7:E26)</f>
        <v>375000</v>
      </c>
      <c r="J8" s="2"/>
      <c r="K8" s="2"/>
    </row>
    <row r="9" spans="1:14" x14ac:dyDescent="0.3">
      <c r="A9" s="5">
        <v>46025</v>
      </c>
      <c r="B9" s="1" t="s">
        <v>11</v>
      </c>
      <c r="C9" s="6">
        <v>42000</v>
      </c>
      <c r="D9" s="6">
        <v>30000</v>
      </c>
      <c r="E9" s="18">
        <f t="shared" si="0"/>
        <v>12000</v>
      </c>
      <c r="F9" s="8">
        <f t="shared" si="1"/>
        <v>0.2857142857142857</v>
      </c>
      <c r="H9" s="12" t="s">
        <v>18</v>
      </c>
      <c r="I9" s="13">
        <f>I8/I6</f>
        <v>0.37165510406342916</v>
      </c>
      <c r="J9" s="2"/>
      <c r="K9" s="2"/>
    </row>
    <row r="10" spans="1:14" x14ac:dyDescent="0.3">
      <c r="A10" s="5">
        <v>46026</v>
      </c>
      <c r="B10" s="1" t="s">
        <v>9</v>
      </c>
      <c r="C10" s="6">
        <v>62000</v>
      </c>
      <c r="D10" s="6">
        <v>38000</v>
      </c>
      <c r="E10" s="2">
        <f t="shared" si="0"/>
        <v>24000</v>
      </c>
      <c r="F10" s="8">
        <f t="shared" si="1"/>
        <v>0.38709677419354838</v>
      </c>
      <c r="H10" s="7"/>
      <c r="I10" s="2"/>
      <c r="J10" s="2"/>
      <c r="K10" s="2"/>
    </row>
    <row r="11" spans="1:14" x14ac:dyDescent="0.3">
      <c r="A11" s="5">
        <v>46027</v>
      </c>
      <c r="B11" s="1" t="s">
        <v>10</v>
      </c>
      <c r="C11" s="6">
        <v>28000</v>
      </c>
      <c r="D11" s="6">
        <v>19000</v>
      </c>
      <c r="E11" s="2">
        <f t="shared" si="0"/>
        <v>9000</v>
      </c>
      <c r="F11" s="8">
        <f t="shared" si="1"/>
        <v>0.32142857142857145</v>
      </c>
      <c r="H11" s="7"/>
      <c r="I11" s="2"/>
      <c r="J11" s="2"/>
      <c r="K11" s="2"/>
    </row>
    <row r="12" spans="1:14" x14ac:dyDescent="0.3">
      <c r="A12" s="5">
        <v>46054</v>
      </c>
      <c r="B12" s="1" t="s">
        <v>9</v>
      </c>
      <c r="C12" s="6">
        <v>55000</v>
      </c>
      <c r="D12" s="6">
        <v>34000</v>
      </c>
      <c r="E12" s="2">
        <f t="shared" si="0"/>
        <v>21000</v>
      </c>
      <c r="F12" s="8">
        <f t="shared" si="1"/>
        <v>0.38181818181818183</v>
      </c>
      <c r="H12" s="10" t="s">
        <v>3</v>
      </c>
      <c r="I12" s="14" t="s">
        <v>4</v>
      </c>
      <c r="J12" s="14" t="s">
        <v>5</v>
      </c>
      <c r="K12" s="14" t="s">
        <v>19</v>
      </c>
      <c r="M12" t="s">
        <v>3</v>
      </c>
      <c r="N12" t="s">
        <v>19</v>
      </c>
    </row>
    <row r="13" spans="1:14" x14ac:dyDescent="0.3">
      <c r="A13" s="5">
        <v>46055</v>
      </c>
      <c r="B13" s="1" t="s">
        <v>10</v>
      </c>
      <c r="C13" s="6">
        <v>40000</v>
      </c>
      <c r="D13" s="6">
        <v>26000</v>
      </c>
      <c r="E13" s="2">
        <f t="shared" si="0"/>
        <v>14000</v>
      </c>
      <c r="F13" s="8">
        <f t="shared" si="1"/>
        <v>0.35</v>
      </c>
      <c r="H13" s="16" t="s">
        <v>20</v>
      </c>
      <c r="I13" s="15">
        <f>SUMIF($B$7:$B$26,"sales",$C$7:$C$26)</f>
        <v>510000</v>
      </c>
      <c r="J13" s="15">
        <f>SUMIF(B7:B26,B10,D7:D26)</f>
        <v>309000</v>
      </c>
      <c r="K13" s="15">
        <f>$I$13-$J$13</f>
        <v>201000</v>
      </c>
      <c r="M13" t="s">
        <v>20</v>
      </c>
      <c r="N13" s="3">
        <f>$I$13-$J$13</f>
        <v>201000</v>
      </c>
    </row>
    <row r="14" spans="1:14" x14ac:dyDescent="0.3">
      <c r="A14" s="5">
        <v>46056</v>
      </c>
      <c r="B14" s="1" t="s">
        <v>11</v>
      </c>
      <c r="C14" s="6">
        <v>46000</v>
      </c>
      <c r="D14" s="6">
        <v>31000</v>
      </c>
      <c r="E14" s="2">
        <f t="shared" si="0"/>
        <v>15000</v>
      </c>
      <c r="F14" s="8">
        <f t="shared" si="1"/>
        <v>0.32608695652173914</v>
      </c>
      <c r="H14" s="16" t="s">
        <v>21</v>
      </c>
      <c r="I14" s="15">
        <f>SUMIF($B$7:$B$26,"marketing",$C$7:$C$26)</f>
        <v>307000</v>
      </c>
      <c r="J14" s="15">
        <f>SUMIF(B7:B26,B16,D7:D26)</f>
        <v>196000</v>
      </c>
      <c r="K14" s="15">
        <f>$I$14-$J$14</f>
        <v>111000</v>
      </c>
      <c r="M14" t="s">
        <v>21</v>
      </c>
      <c r="N14" s="3">
        <f>$I$14-$J$14</f>
        <v>111000</v>
      </c>
    </row>
    <row r="15" spans="1:14" x14ac:dyDescent="0.3">
      <c r="A15" s="5">
        <v>46057</v>
      </c>
      <c r="B15" s="1" t="s">
        <v>9</v>
      </c>
      <c r="C15" s="6">
        <v>68000</v>
      </c>
      <c r="D15" s="6">
        <v>41000</v>
      </c>
      <c r="E15" s="2">
        <f t="shared" si="0"/>
        <v>27000</v>
      </c>
      <c r="F15" s="8">
        <f t="shared" si="1"/>
        <v>0.39705882352941174</v>
      </c>
      <c r="H15" s="16" t="s">
        <v>22</v>
      </c>
      <c r="I15" s="15">
        <f>SUMIF(B7:B26,B19,C7:C26)</f>
        <v>192000</v>
      </c>
      <c r="J15" s="15">
        <f>SUMIF(B7:B26,B14,D7:D26)</f>
        <v>129000</v>
      </c>
      <c r="K15" s="15">
        <f>$I$15-$J$15</f>
        <v>63000</v>
      </c>
      <c r="M15" t="s">
        <v>22</v>
      </c>
      <c r="N15" s="3">
        <f>$I$15-$J$15</f>
        <v>63000</v>
      </c>
    </row>
    <row r="16" spans="1:14" x14ac:dyDescent="0.3">
      <c r="A16" s="5">
        <v>46058</v>
      </c>
      <c r="B16" s="1" t="s">
        <v>10</v>
      </c>
      <c r="C16" s="6">
        <v>32000</v>
      </c>
      <c r="D16" s="6">
        <v>21000</v>
      </c>
      <c r="E16" s="2">
        <f t="shared" si="0"/>
        <v>11000</v>
      </c>
      <c r="F16" s="8">
        <f t="shared" si="1"/>
        <v>0.34375</v>
      </c>
    </row>
    <row r="17" spans="1:8" x14ac:dyDescent="0.3">
      <c r="A17" s="5">
        <v>46082</v>
      </c>
      <c r="B17" s="1" t="s">
        <v>9</v>
      </c>
      <c r="C17" s="6">
        <v>60000</v>
      </c>
      <c r="D17" s="6">
        <v>36000</v>
      </c>
      <c r="E17" s="2">
        <f t="shared" si="0"/>
        <v>24000</v>
      </c>
      <c r="F17" s="8">
        <f t="shared" si="1"/>
        <v>0.4</v>
      </c>
    </row>
    <row r="18" spans="1:8" x14ac:dyDescent="0.3">
      <c r="A18" s="5">
        <v>46083</v>
      </c>
      <c r="B18" s="1" t="s">
        <v>10</v>
      </c>
      <c r="C18" s="6">
        <v>44000</v>
      </c>
      <c r="D18" s="6">
        <v>28000</v>
      </c>
      <c r="E18" s="2">
        <f t="shared" si="0"/>
        <v>16000</v>
      </c>
      <c r="F18" s="8">
        <f t="shared" si="1"/>
        <v>0.36363636363636365</v>
      </c>
    </row>
    <row r="19" spans="1:8" x14ac:dyDescent="0.3">
      <c r="A19" s="5">
        <v>46084</v>
      </c>
      <c r="B19" s="1" t="s">
        <v>11</v>
      </c>
      <c r="C19" s="6">
        <v>50000</v>
      </c>
      <c r="D19" s="6">
        <v>33000</v>
      </c>
      <c r="E19" s="2">
        <f t="shared" si="0"/>
        <v>17000</v>
      </c>
      <c r="F19" s="8">
        <f t="shared" si="1"/>
        <v>0.34</v>
      </c>
    </row>
    <row r="20" spans="1:8" x14ac:dyDescent="0.3">
      <c r="A20" s="5">
        <v>46085</v>
      </c>
      <c r="B20" s="1" t="s">
        <v>9</v>
      </c>
      <c r="C20" s="6">
        <v>72000</v>
      </c>
      <c r="D20" s="6">
        <v>43000</v>
      </c>
      <c r="E20" s="2">
        <f t="shared" si="0"/>
        <v>29000</v>
      </c>
      <c r="F20" s="8">
        <f t="shared" si="1"/>
        <v>0.40277777777777779</v>
      </c>
    </row>
    <row r="21" spans="1:8" x14ac:dyDescent="0.3">
      <c r="A21" s="5">
        <v>46086</v>
      </c>
      <c r="B21" s="1" t="s">
        <v>10</v>
      </c>
      <c r="C21" s="6">
        <v>38000</v>
      </c>
      <c r="D21" s="6">
        <v>23000</v>
      </c>
      <c r="E21" s="2">
        <f t="shared" si="0"/>
        <v>15000</v>
      </c>
      <c r="F21" s="8">
        <f t="shared" si="1"/>
        <v>0.39473684210526316</v>
      </c>
    </row>
    <row r="22" spans="1:8" x14ac:dyDescent="0.3">
      <c r="A22" s="5">
        <v>46113</v>
      </c>
      <c r="B22" s="1" t="s">
        <v>9</v>
      </c>
      <c r="C22" s="6">
        <v>65000</v>
      </c>
      <c r="D22" s="6">
        <v>39000</v>
      </c>
      <c r="E22" s="2">
        <f t="shared" si="0"/>
        <v>26000</v>
      </c>
      <c r="F22" s="8">
        <f t="shared" si="1"/>
        <v>0.4</v>
      </c>
    </row>
    <row r="23" spans="1:8" x14ac:dyDescent="0.3">
      <c r="A23" s="5">
        <v>46114</v>
      </c>
      <c r="B23" s="1" t="s">
        <v>10</v>
      </c>
      <c r="C23" s="6">
        <v>48000</v>
      </c>
      <c r="D23" s="6">
        <v>30000</v>
      </c>
      <c r="E23" s="2">
        <f t="shared" si="0"/>
        <v>18000</v>
      </c>
      <c r="F23" s="8">
        <f t="shared" si="1"/>
        <v>0.375</v>
      </c>
    </row>
    <row r="24" spans="1:8" x14ac:dyDescent="0.3">
      <c r="A24" s="5">
        <v>46115</v>
      </c>
      <c r="B24" s="1" t="s">
        <v>11</v>
      </c>
      <c r="C24" s="6">
        <v>54000</v>
      </c>
      <c r="D24" s="6">
        <v>35000</v>
      </c>
      <c r="E24" s="2">
        <f t="shared" si="0"/>
        <v>19000</v>
      </c>
      <c r="F24" s="8">
        <f t="shared" si="1"/>
        <v>0.35185185185185186</v>
      </c>
    </row>
    <row r="25" spans="1:8" x14ac:dyDescent="0.3">
      <c r="A25" s="5">
        <v>46116</v>
      </c>
      <c r="B25" s="1" t="s">
        <v>9</v>
      </c>
      <c r="C25" s="6">
        <v>78000</v>
      </c>
      <c r="D25" s="6">
        <v>46000</v>
      </c>
      <c r="E25" s="2">
        <f t="shared" si="0"/>
        <v>32000</v>
      </c>
      <c r="F25" s="8">
        <f t="shared" si="1"/>
        <v>0.41025641025641024</v>
      </c>
    </row>
    <row r="26" spans="1:8" x14ac:dyDescent="0.3">
      <c r="A26" s="5">
        <v>46117</v>
      </c>
      <c r="B26" s="1" t="s">
        <v>10</v>
      </c>
      <c r="C26" s="6">
        <v>42000</v>
      </c>
      <c r="D26" s="6">
        <v>25000</v>
      </c>
      <c r="E26" s="2">
        <f t="shared" si="0"/>
        <v>17000</v>
      </c>
      <c r="F26" s="8">
        <f t="shared" si="1"/>
        <v>0.40476190476190477</v>
      </c>
    </row>
    <row r="29" spans="1:8" x14ac:dyDescent="0.3">
      <c r="H29" s="17"/>
    </row>
  </sheetData>
  <mergeCells count="3">
    <mergeCell ref="D1:F1"/>
    <mergeCell ref="D2:F2"/>
    <mergeCell ref="D3:F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gupta</dc:creator>
  <cp:lastModifiedBy>yuvraj gupta</cp:lastModifiedBy>
  <dcterms:created xsi:type="dcterms:W3CDTF">2026-10-15T16:57:16Z</dcterms:created>
  <dcterms:modified xsi:type="dcterms:W3CDTF">2026-10-17T05:32:50Z</dcterms:modified>
</cp:coreProperties>
</file>